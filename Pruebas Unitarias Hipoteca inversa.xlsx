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bf091ba1c8ec3f/Documentos/codigo_limpio_bueno/CALCULADORA-DE-HIPOTECA-INVERSA/"/>
    </mc:Choice>
  </mc:AlternateContent>
  <xr:revisionPtr revIDLastSave="0" documentId="8_{44E82598-F362-48F6-9379-D2E2636E8A9B}" xr6:coauthVersionLast="47" xr6:coauthVersionMax="47" xr10:uidLastSave="{00000000-0000-0000-0000-000000000000}"/>
  <bookViews>
    <workbookView xWindow="-108" yWindow="-108" windowWidth="23256" windowHeight="13896" xr2:uid="{3A6D69DF-D47A-49DD-A42D-8E27133C072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H7" i="1"/>
  <c r="H8" i="1"/>
  <c r="H9" i="1"/>
  <c r="H10" i="1"/>
  <c r="H11" i="1"/>
  <c r="H12" i="1"/>
  <c r="G7" i="1"/>
  <c r="G8" i="1"/>
  <c r="G9" i="1"/>
  <c r="G10" i="1"/>
  <c r="G11" i="1"/>
  <c r="G12" i="1"/>
  <c r="I4" i="1"/>
  <c r="I3" i="1"/>
  <c r="H4" i="1"/>
  <c r="H3" i="1"/>
  <c r="G4" i="1"/>
  <c r="G3" i="1"/>
</calcChain>
</file>

<file path=xl/sharedStrings.xml><?xml version="1.0" encoding="utf-8"?>
<sst xmlns="http://schemas.openxmlformats.org/spreadsheetml/2006/main" count="45" uniqueCount="30">
  <si>
    <t>CASOS</t>
  </si>
  <si>
    <t>ENTRADAS</t>
  </si>
  <si>
    <t>SALIDAS</t>
  </si>
  <si>
    <t>Casos Normales</t>
  </si>
  <si>
    <t>Edad</t>
  </si>
  <si>
    <t>Casos Extraordinarios</t>
  </si>
  <si>
    <t>Casos de Error</t>
  </si>
  <si>
    <t>Caso normal 1</t>
  </si>
  <si>
    <t>Caso normal 2</t>
  </si>
  <si>
    <t>Valor del inmueble</t>
  </si>
  <si>
    <t>Saldo proyectado de la deuda</t>
  </si>
  <si>
    <t>Error edad</t>
  </si>
  <si>
    <t>Vivienda muy costosa</t>
  </si>
  <si>
    <t>Plazo muy largo</t>
  </si>
  <si>
    <t>Financación alta</t>
  </si>
  <si>
    <t xml:space="preserve">Error: la edad mínima para solicitar hipotea inversa es de </t>
  </si>
  <si>
    <t>Error: el porcentaje financiado debe ser entre 0 y 100</t>
  </si>
  <si>
    <t>Error porcentaje</t>
  </si>
  <si>
    <t>Interés muy bajo</t>
  </si>
  <si>
    <t>Persona muy mayor</t>
  </si>
  <si>
    <t>Vivienda económica</t>
  </si>
  <si>
    <t>Error tasa negativa</t>
  </si>
  <si>
    <t>Error porcentaje negativo</t>
  </si>
  <si>
    <t>Error: la tasa de interés debe ser mayor a 0.</t>
  </si>
  <si>
    <t>Tasa de capitalizacion</t>
  </si>
  <si>
    <t>Plazo de simulacion</t>
  </si>
  <si>
    <t>Porcentaje LTV permitido</t>
  </si>
  <si>
    <t>Monto mensual recibido</t>
  </si>
  <si>
    <t>Total recibido acumulado</t>
  </si>
  <si>
    <t>Tasa de capita;izacion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</si>
</sst>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3" formatCode="_-* #,##0.00_-;\-* #,##0.00_-;_-* &quot;-&quot;??_-;_-@_-"/>
    <numFmt numFmtId="164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5" borderId="2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/>
    <xf numFmtId="0" fontId="0" fillId="5" borderId="0" xfId="1" applyNumberFormat="1" applyFont="1" applyFill="1" applyAlignment="1">
      <alignment horizontal="center"/>
    </xf>
    <xf numFmtId="0" fontId="0" fillId="5" borderId="0" xfId="1" applyNumberFormat="1" applyFont="1" applyFill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6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6A64-EBD1-4097-8827-79A9BC47E3A7}">
  <dimension ref="A1:I18"/>
  <sheetViews>
    <sheetView tabSelected="1" zoomScale="97" workbookViewId="0">
      <selection activeCell="H23" sqref="H23"/>
    </sheetView>
  </sheetViews>
  <sheetFormatPr baseColWidth="10" defaultColWidth="10.77734375" defaultRowHeight="14.4" x14ac:dyDescent="0.3"/>
  <cols>
    <col min="1" max="1" width="23.21875" bestFit="1" customWidth="1"/>
    <col min="2" max="2" width="16.6640625" style="10" bestFit="1" customWidth="1"/>
    <col min="3" max="3" width="14.5546875" customWidth="1"/>
    <col min="4" max="4" width="11.33203125" customWidth="1"/>
    <col min="5" max="5" width="16.77734375" customWidth="1"/>
    <col min="6" max="6" width="21.77734375" customWidth="1"/>
    <col min="7" max="7" width="29.77734375" customWidth="1"/>
    <col min="8" max="8" width="29.77734375" style="10" customWidth="1"/>
    <col min="9" max="9" width="27.21875" customWidth="1"/>
  </cols>
  <sheetData>
    <row r="1" spans="1:9" x14ac:dyDescent="0.3">
      <c r="A1" s="8" t="s">
        <v>0</v>
      </c>
      <c r="B1" s="26" t="s">
        <v>1</v>
      </c>
      <c r="C1" s="26"/>
      <c r="D1" s="26"/>
      <c r="E1" s="26"/>
      <c r="F1" s="26"/>
      <c r="G1" s="27" t="s">
        <v>2</v>
      </c>
      <c r="H1" s="27"/>
      <c r="I1" s="27"/>
    </row>
    <row r="2" spans="1:9" ht="28.8" x14ac:dyDescent="0.3">
      <c r="A2" s="19" t="s">
        <v>3</v>
      </c>
      <c r="B2" s="20" t="s">
        <v>9</v>
      </c>
      <c r="C2" s="21" t="s">
        <v>24</v>
      </c>
      <c r="D2" s="21" t="s">
        <v>4</v>
      </c>
      <c r="E2" s="21" t="s">
        <v>25</v>
      </c>
      <c r="F2" s="21" t="s">
        <v>26</v>
      </c>
      <c r="G2" s="21" t="s">
        <v>27</v>
      </c>
      <c r="H2" s="22" t="s">
        <v>28</v>
      </c>
      <c r="I2" s="19" t="s">
        <v>10</v>
      </c>
    </row>
    <row r="3" spans="1:9" x14ac:dyDescent="0.3">
      <c r="A3" s="1" t="s">
        <v>7</v>
      </c>
      <c r="B3" s="2">
        <v>300000000</v>
      </c>
      <c r="C3" s="14">
        <v>0.08</v>
      </c>
      <c r="D3" s="1">
        <v>70</v>
      </c>
      <c r="E3" s="1">
        <v>20</v>
      </c>
      <c r="F3" s="5">
        <v>0.4</v>
      </c>
      <c r="G3" s="15">
        <f>PMT(C3/12,E3*12,-(B3*F3))</f>
        <v>1003728.0827921554</v>
      </c>
      <c r="H3" s="2">
        <f>G3*E3*12</f>
        <v>240894739.87011731</v>
      </c>
      <c r="I3" s="2">
        <f>B3*F3*(1+C3)^E3</f>
        <v>559314857.26191676</v>
      </c>
    </row>
    <row r="4" spans="1:9" x14ac:dyDescent="0.3">
      <c r="A4" s="1" t="s">
        <v>8</v>
      </c>
      <c r="B4" s="2">
        <v>450000000</v>
      </c>
      <c r="C4" s="13">
        <v>7.0000000000000007E-2</v>
      </c>
      <c r="D4" s="1">
        <v>75</v>
      </c>
      <c r="E4" s="1">
        <v>25</v>
      </c>
      <c r="F4" s="5">
        <v>0.35</v>
      </c>
      <c r="G4" s="15">
        <f>PMT(C4/12,E4*12,-(B4*F4))</f>
        <v>1113177.2357082695</v>
      </c>
      <c r="H4" s="2">
        <f>G4*E4*12</f>
        <v>333953170.71248084</v>
      </c>
      <c r="I4" s="2">
        <f>B4*F4*(1+C4)^E4</f>
        <v>854820640.81935537</v>
      </c>
    </row>
    <row r="5" spans="1:9" ht="4.95" customHeight="1" x14ac:dyDescent="0.3">
      <c r="A5" s="3"/>
      <c r="B5" s="9"/>
      <c r="C5" s="11"/>
      <c r="D5" s="4"/>
      <c r="E5" s="4"/>
      <c r="F5" s="4"/>
      <c r="G5" s="17"/>
      <c r="H5" s="18"/>
      <c r="I5" s="18"/>
    </row>
    <row r="6" spans="1:9" ht="28.8" x14ac:dyDescent="0.3">
      <c r="A6" s="19" t="s">
        <v>5</v>
      </c>
      <c r="B6" s="20" t="s">
        <v>9</v>
      </c>
      <c r="C6" s="21" t="s">
        <v>29</v>
      </c>
      <c r="D6" s="21" t="s">
        <v>4</v>
      </c>
      <c r="E6" s="21" t="s">
        <v>25</v>
      </c>
      <c r="F6" s="21" t="s">
        <v>26</v>
      </c>
      <c r="G6" s="21" t="s">
        <v>27</v>
      </c>
      <c r="H6" s="22" t="s">
        <v>28</v>
      </c>
      <c r="I6" s="23" t="s">
        <v>10</v>
      </c>
    </row>
    <row r="7" spans="1:9" x14ac:dyDescent="0.3">
      <c r="A7" s="1" t="s">
        <v>12</v>
      </c>
      <c r="B7" s="2">
        <v>900000000</v>
      </c>
      <c r="C7" s="16">
        <v>7.5499999999999998E-2</v>
      </c>
      <c r="D7" s="1">
        <v>80</v>
      </c>
      <c r="E7" s="1">
        <v>15</v>
      </c>
      <c r="F7" s="5">
        <v>0.3</v>
      </c>
      <c r="G7" s="15">
        <f t="shared" ref="G7:G12" si="0">PMT(C7/12,E7*12,-(B7*F7))</f>
        <v>2510611.0823132163</v>
      </c>
      <c r="H7" s="2">
        <f t="shared" ref="H7:H12" si="1">G7*E7*12</f>
        <v>451909994.81637895</v>
      </c>
      <c r="I7" s="2">
        <f t="shared" ref="I7:I12" si="2">B7*F7*(1+C7)^E7</f>
        <v>804488768.01195729</v>
      </c>
    </row>
    <row r="8" spans="1:9" x14ac:dyDescent="0.3">
      <c r="A8" s="1" t="s">
        <v>13</v>
      </c>
      <c r="B8" s="2">
        <v>350000000</v>
      </c>
      <c r="C8" s="13">
        <v>0.08</v>
      </c>
      <c r="D8" s="1">
        <v>72</v>
      </c>
      <c r="E8" s="1">
        <v>30</v>
      </c>
      <c r="F8" s="5">
        <v>0.45</v>
      </c>
      <c r="G8" s="15">
        <f t="shared" si="0"/>
        <v>1155679.2038600175</v>
      </c>
      <c r="H8" s="2">
        <f t="shared" si="1"/>
        <v>416044513.38960624</v>
      </c>
      <c r="I8" s="2">
        <f t="shared" si="2"/>
        <v>1584868460.0290675</v>
      </c>
    </row>
    <row r="9" spans="1:9" x14ac:dyDescent="0.3">
      <c r="A9" s="1" t="s">
        <v>14</v>
      </c>
      <c r="B9" s="2">
        <v>250000000</v>
      </c>
      <c r="C9" s="13">
        <v>0.09</v>
      </c>
      <c r="D9" s="1">
        <v>68</v>
      </c>
      <c r="E9" s="1">
        <v>20</v>
      </c>
      <c r="F9" s="5">
        <v>0.7</v>
      </c>
      <c r="G9" s="15">
        <f t="shared" si="0"/>
        <v>1574520.4227378028</v>
      </c>
      <c r="H9" s="2">
        <f t="shared" si="1"/>
        <v>377884901.45707273</v>
      </c>
      <c r="I9" s="2">
        <f t="shared" si="2"/>
        <v>980771884.36120212</v>
      </c>
    </row>
    <row r="10" spans="1:9" x14ac:dyDescent="0.3">
      <c r="A10" s="1" t="s">
        <v>18</v>
      </c>
      <c r="B10" s="2">
        <v>400000000</v>
      </c>
      <c r="C10" s="13">
        <v>0.05</v>
      </c>
      <c r="D10" s="1">
        <v>78</v>
      </c>
      <c r="E10" s="1">
        <v>20</v>
      </c>
      <c r="F10" s="5">
        <v>0.4</v>
      </c>
      <c r="G10" s="15">
        <f t="shared" si="0"/>
        <v>1055929.1827466518</v>
      </c>
      <c r="H10" s="2">
        <f t="shared" si="1"/>
        <v>253423003.85919642</v>
      </c>
      <c r="I10" s="2">
        <f t="shared" si="2"/>
        <v>424527632.82310736</v>
      </c>
    </row>
    <row r="11" spans="1:9" x14ac:dyDescent="0.3">
      <c r="A11" s="1" t="s">
        <v>19</v>
      </c>
      <c r="B11" s="2">
        <v>280000000</v>
      </c>
      <c r="C11" s="13">
        <v>0.08</v>
      </c>
      <c r="D11" s="1">
        <v>85</v>
      </c>
      <c r="E11" s="1">
        <v>10</v>
      </c>
      <c r="F11" s="5">
        <v>0.5</v>
      </c>
      <c r="G11" s="15">
        <f t="shared" si="0"/>
        <v>1698586.320974997</v>
      </c>
      <c r="H11" s="2">
        <f t="shared" si="1"/>
        <v>203830358.51699966</v>
      </c>
      <c r="I11" s="2">
        <f t="shared" si="2"/>
        <v>302249499.61819029</v>
      </c>
    </row>
    <row r="12" spans="1:9" x14ac:dyDescent="0.3">
      <c r="A12" s="1" t="s">
        <v>20</v>
      </c>
      <c r="B12" s="2">
        <v>150000000</v>
      </c>
      <c r="C12" s="13">
        <v>0.09</v>
      </c>
      <c r="D12" s="1">
        <v>70</v>
      </c>
      <c r="E12" s="1">
        <v>25</v>
      </c>
      <c r="F12" s="5">
        <v>0.6</v>
      </c>
      <c r="G12" s="15">
        <f t="shared" si="0"/>
        <v>755276.72727135918</v>
      </c>
      <c r="H12" s="2">
        <f t="shared" si="1"/>
        <v>226583018.18140775</v>
      </c>
      <c r="I12" s="2">
        <f t="shared" si="2"/>
        <v>776077259.4362874</v>
      </c>
    </row>
    <row r="13" spans="1:9" ht="5.4" customHeight="1" x14ac:dyDescent="0.3">
      <c r="A13" s="3"/>
      <c r="B13" s="9"/>
      <c r="C13" s="12"/>
      <c r="D13" s="3"/>
      <c r="E13" s="3"/>
      <c r="F13" s="3"/>
      <c r="G13" s="3"/>
      <c r="H13" s="9"/>
      <c r="I13" s="6"/>
    </row>
    <row r="14" spans="1:9" ht="28.8" x14ac:dyDescent="0.3">
      <c r="A14" s="19" t="s">
        <v>6</v>
      </c>
      <c r="B14" s="20" t="s">
        <v>9</v>
      </c>
      <c r="C14" s="21" t="s">
        <v>24</v>
      </c>
      <c r="D14" s="21" t="s">
        <v>4</v>
      </c>
      <c r="E14" s="21" t="s">
        <v>25</v>
      </c>
      <c r="F14" s="21" t="s">
        <v>26</v>
      </c>
      <c r="G14" s="21" t="s">
        <v>27</v>
      </c>
      <c r="H14" s="22" t="s">
        <v>28</v>
      </c>
      <c r="I14" s="23" t="s">
        <v>10</v>
      </c>
    </row>
    <row r="15" spans="1:9" x14ac:dyDescent="0.3">
      <c r="A15" s="1" t="s">
        <v>11</v>
      </c>
      <c r="B15" s="2">
        <v>300000000</v>
      </c>
      <c r="C15" s="13">
        <v>0.08</v>
      </c>
      <c r="D15" s="1">
        <v>50</v>
      </c>
      <c r="E15" s="1">
        <v>20</v>
      </c>
      <c r="F15" s="5">
        <v>0.4</v>
      </c>
      <c r="G15" s="25" t="s">
        <v>15</v>
      </c>
      <c r="H15" s="25"/>
      <c r="I15" s="25"/>
    </row>
    <row r="16" spans="1:9" x14ac:dyDescent="0.3">
      <c r="A16" s="1" t="s">
        <v>17</v>
      </c>
      <c r="B16" s="2">
        <v>350000000</v>
      </c>
      <c r="C16" s="13">
        <v>7.0000000000000007E-2</v>
      </c>
      <c r="D16" s="1">
        <v>70</v>
      </c>
      <c r="E16" s="1">
        <v>25</v>
      </c>
      <c r="F16" s="5">
        <v>1.2</v>
      </c>
      <c r="G16" s="25" t="s">
        <v>16</v>
      </c>
      <c r="H16" s="25"/>
      <c r="I16" s="25"/>
    </row>
    <row r="17" spans="1:9" x14ac:dyDescent="0.3">
      <c r="A17" s="1" t="s">
        <v>22</v>
      </c>
      <c r="B17" s="2">
        <v>280000000</v>
      </c>
      <c r="C17" s="24">
        <v>0.08</v>
      </c>
      <c r="D17" s="7">
        <v>72</v>
      </c>
      <c r="E17" s="7">
        <v>20</v>
      </c>
      <c r="F17" s="24">
        <v>-0.3</v>
      </c>
      <c r="G17" s="25"/>
      <c r="H17" s="25"/>
      <c r="I17" s="25"/>
    </row>
    <row r="18" spans="1:9" x14ac:dyDescent="0.3">
      <c r="A18" s="1" t="s">
        <v>21</v>
      </c>
      <c r="B18" s="2">
        <v>400000000</v>
      </c>
      <c r="C18" s="24">
        <v>-0.05</v>
      </c>
      <c r="D18" s="7">
        <v>75</v>
      </c>
      <c r="E18" s="7">
        <v>20</v>
      </c>
      <c r="F18" s="24">
        <v>0.4</v>
      </c>
      <c r="G18" s="25" t="s">
        <v>23</v>
      </c>
      <c r="H18" s="25"/>
      <c r="I18" s="25"/>
    </row>
  </sheetData>
  <mergeCells count="6">
    <mergeCell ref="G18:I18"/>
    <mergeCell ref="B1:F1"/>
    <mergeCell ref="G1:I1"/>
    <mergeCell ref="G15:I15"/>
    <mergeCell ref="G16:I16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Jiménez</dc:creator>
  <cp:lastModifiedBy>Emmanuel Betancur Alvarez</cp:lastModifiedBy>
  <dcterms:created xsi:type="dcterms:W3CDTF">2026-02-12T21:28:57Z</dcterms:created>
  <dcterms:modified xsi:type="dcterms:W3CDTF">2026-02-27T15:32:39Z</dcterms:modified>
</cp:coreProperties>
</file>